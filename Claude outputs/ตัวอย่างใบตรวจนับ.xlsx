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ตรวจนับ" sheetId="1" r:id="rId1"/>
  </sheets>
  <definedNames>
    <definedName name="_xlnm._FilterDatabase" localSheetId="0">'ตรวจนับ'!A5:J23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7.83203125" customWidth="1"/>
    <col min="2" max="2" width="13.83203125" customWidth="1"/>
    <col min="3" max="3" width="20.83203125" customWidth="1"/>
    <col min="4" max="4" width="16.83203125" customWidth="1"/>
    <col min="5" max="5" width="40.83203125" customWidth="1"/>
    <col min="6" max="6" width="9.83203125" customWidth="1"/>
    <col min="7" max="7" width="14.83203125" customWidth="1"/>
    <col min="8" max="8" width="14.83203125" customWidth="1"/>
    <col min="9" max="9" width="32.83203125" customWidth="1"/>
    <col min="10" max="10" width="13.83203125" customWidth="1"/>
  </cols>
  <sheetData>
    <row r="1">
      <c r="A1" t="str">
        <v>แบบตรวจนับพัสดุ (ครุภัณฑ์) ตรวจนับพัสดุประจำปีงบประมาณ 2569</v>
      </c>
    </row>
    <row r="2">
      <c r="A2" t="str">
        <v>หน่วยงาน รพ.สต.ตัวอย่าง อำเภอเมืองสตูล · ช่วงตรวจนับ 01/10/2569 – 31/10/2569</v>
      </c>
    </row>
    <row r="3">
      <c r="A3" t="str">
        <v>เงื่อนไข: ทุกรายการในรอบตรวจ</v>
      </c>
    </row>
    <row r="5">
      <c r="A5" t="str">
        <v>ลำดับที่</v>
      </c>
      <c r="B5" t="str">
        <v>วันเดือนปีที่ได้</v>
      </c>
      <c r="C5" t="str">
        <v>รหัสครุภัณฑ์</v>
      </c>
      <c r="D5" t="str">
        <v>รหัสสินทรัพย์</v>
      </c>
      <c r="E5" t="str">
        <v>ชื่อรายการ</v>
      </c>
      <c r="F5" t="str">
        <v>จำนวนหน่วย</v>
      </c>
      <c r="G5" t="str">
        <v>มูลค่าที่ได้มา</v>
      </c>
      <c r="H5" t="str">
        <v>มูลค่ารวม</v>
      </c>
      <c r="I5" t="str">
        <v>ใช้ประจำที่ไหน</v>
      </c>
      <c r="J5" t="str">
        <v>สถานะพัสดุ</v>
      </c>
    </row>
    <row r="6">
      <c r="A6">
        <v>1</v>
      </c>
      <c r="B6" t="str">
        <v>15/02/2565</v>
      </c>
      <c r="C6" t="str">
        <v>7440-001-1001/2566</v>
      </c>
      <c r="D6" t="str">
        <v/>
      </c>
      <c r="E6" t="str">
        <v>เครื่องพิมพ์เลเซอร์</v>
      </c>
      <c r="F6">
        <v>1</v>
      </c>
      <c r="G6" s="1">
        <v>8900</v>
      </c>
      <c r="H6" s="1">
        <f>F6*G6</f>
        <v>8900</v>
      </c>
      <c r="I6" t="str">
        <v>กลุ่มงานบริการด้านปฐมภูมิ (ห้องตรวจ 1)</v>
      </c>
      <c r="J6" t="str">
        <v>พร้อมใช้งาน</v>
      </c>
    </row>
    <row r="7">
      <c r="A7">
        <v>2</v>
      </c>
      <c r="B7" t="str">
        <v>15/06/2565</v>
      </c>
      <c r="C7" t="str">
        <v>7440-001-1005/2566</v>
      </c>
      <c r="D7" t="str">
        <v/>
      </c>
      <c r="E7" t="str">
        <v>เครื่องปรับอากาศ 18,000 BTU</v>
      </c>
      <c r="F7">
        <v>1</v>
      </c>
      <c r="G7" s="1">
        <v>28500</v>
      </c>
      <c r="H7" s="1">
        <f>F7*G7</f>
        <v>28500</v>
      </c>
      <c r="I7" t="str">
        <v>กลุ่มงานบริการด้านปฐมภูมิ (ห้องตรวจ 1)</v>
      </c>
      <c r="J7" t="str">
        <v>พร้อมใช้งาน</v>
      </c>
    </row>
    <row r="8">
      <c r="A8">
        <v>3</v>
      </c>
      <c r="B8" t="str">
        <v>15/01/2565</v>
      </c>
      <c r="C8" t="str">
        <v>7440-001-1009/2566</v>
      </c>
      <c r="D8" t="str">
        <v/>
      </c>
      <c r="E8" t="str">
        <v>โต๊ะทำงานเหล็ก</v>
      </c>
      <c r="F8">
        <v>1</v>
      </c>
      <c r="G8" s="1">
        <v>6500</v>
      </c>
      <c r="H8" s="1">
        <f>F8*G8</f>
        <v>6500</v>
      </c>
      <c r="I8" t="str">
        <v>กลุ่มงานบริการด้านปฐมภูมิ (ห้องตรวจ 1)</v>
      </c>
      <c r="J8" t="str">
        <v>พร้อมใช้งาน</v>
      </c>
    </row>
    <row r="9">
      <c r="A9">
        <v>4</v>
      </c>
      <c r="B9" t="str">
        <v>15/05/2565</v>
      </c>
      <c r="C9" t="str">
        <v>7440-001-1013/2566</v>
      </c>
      <c r="D9" t="str">
        <v/>
      </c>
      <c r="E9" t="str">
        <v>ตู้เย็นเก็บยา</v>
      </c>
      <c r="F9">
        <v>1</v>
      </c>
      <c r="G9" s="1">
        <v>45000</v>
      </c>
      <c r="H9" s="1">
        <f>F9*G9</f>
        <v>45000</v>
      </c>
      <c r="I9" t="str">
        <v>กลุ่มงานบริการด้านปฐมภูมิ (ห้องตรวจ 1)</v>
      </c>
      <c r="J9" t="str">
        <v>ชำรุด</v>
      </c>
    </row>
    <row r="10">
      <c r="A10">
        <v>5</v>
      </c>
      <c r="B10" t="str">
        <v>15/09/2565</v>
      </c>
      <c r="C10" t="str">
        <v>7440-001-1017/2566</v>
      </c>
      <c r="D10" t="str">
        <v/>
      </c>
      <c r="E10" t="str">
        <v>ตู้เอกสาร 4 ลิ้นชัก</v>
      </c>
      <c r="F10">
        <v>1</v>
      </c>
      <c r="G10" s="1">
        <v>5200</v>
      </c>
      <c r="H10" s="1">
        <f>F10*G10</f>
        <v>5200</v>
      </c>
      <c r="I10" t="str">
        <v>กลุ่มงานบริการด้านปฐมภูมิ (ห้องตรวจ 1)</v>
      </c>
      <c r="J10" t="str">
        <v>พร้อมใช้งาน</v>
      </c>
    </row>
    <row r="11">
      <c r="A11">
        <v>6</v>
      </c>
      <c r="B11" t="str">
        <v>15/01/2564</v>
      </c>
      <c r="C11" t="str">
        <v>7440-001-1000/2565</v>
      </c>
      <c r="D11" t="str">
        <v/>
      </c>
      <c r="E11" t="str">
        <v>คอมพิวเตอร์ตั้งโต๊ะ</v>
      </c>
      <c r="F11">
        <v>1</v>
      </c>
      <c r="G11" s="1">
        <v>24500</v>
      </c>
      <c r="H11" s="1">
        <f>F11*G11</f>
        <v>24500</v>
      </c>
      <c r="I11" t="str">
        <v>กลุ่มงานบริหารทั่วไป (ห้องธุรการ)</v>
      </c>
      <c r="J11" t="str">
        <v>พร้อมใช้งาน</v>
      </c>
    </row>
    <row r="12">
      <c r="A12">
        <v>7</v>
      </c>
      <c r="B12" t="str">
        <v>15/05/2564</v>
      </c>
      <c r="C12" t="str">
        <v>7440-001-1004/2565</v>
      </c>
      <c r="D12" t="str">
        <v/>
      </c>
      <c r="E12" t="str">
        <v>เครื่องวัดความดันโลหิตอัตโนมัติ</v>
      </c>
      <c r="F12">
        <v>1</v>
      </c>
      <c r="G12" s="1">
        <v>32000</v>
      </c>
      <c r="H12" s="1">
        <f>F12*G12</f>
        <v>32000</v>
      </c>
      <c r="I12" t="str">
        <v>กลุ่มงานบริหารทั่วไป (ห้องธุรการ)</v>
      </c>
      <c r="J12" t="str">
        <v>ชำรุด</v>
      </c>
    </row>
    <row r="13">
      <c r="A13">
        <v>8</v>
      </c>
      <c r="B13" t="str">
        <v>15/09/2564</v>
      </c>
      <c r="C13" t="str">
        <v>7440-001-1008/2565</v>
      </c>
      <c r="D13" t="str">
        <v/>
      </c>
      <c r="E13" t="str">
        <v>เครื่องพิมพ์เลเซอร์</v>
      </c>
      <c r="F13">
        <v>1</v>
      </c>
      <c r="G13" s="1">
        <v>8900</v>
      </c>
      <c r="H13" s="1">
        <f>F13*G13</f>
        <v>8900</v>
      </c>
      <c r="I13" t="str">
        <v>กลุ่มงานบริหารทั่วไป (ห้องธุรการ)</v>
      </c>
      <c r="J13" t="str">
        <v>พร้อมใช้งาน</v>
      </c>
    </row>
    <row r="14">
      <c r="A14">
        <v>9</v>
      </c>
      <c r="B14" t="str">
        <v>15/04/2564</v>
      </c>
      <c r="C14" t="str">
        <v>7440-001-1012/2565</v>
      </c>
      <c r="D14" t="str">
        <v/>
      </c>
      <c r="E14" t="str">
        <v>เครื่องปรับอากาศ 18,000 BTU</v>
      </c>
      <c r="F14">
        <v>1</v>
      </c>
      <c r="G14" s="1">
        <v>28500</v>
      </c>
      <c r="H14" s="1">
        <f>F14*G14</f>
        <v>28500</v>
      </c>
      <c r="I14" t="str">
        <v>กลุ่มงานบริหารทั่วไป (ห้องธุรการ)</v>
      </c>
      <c r="J14" t="str">
        <v>พร้อมใช้งาน</v>
      </c>
    </row>
    <row r="15">
      <c r="A15">
        <v>10</v>
      </c>
      <c r="B15" t="str">
        <v>15/08/2564</v>
      </c>
      <c r="C15" t="str">
        <v>7440-001-1016/2565</v>
      </c>
      <c r="D15" t="str">
        <v/>
      </c>
      <c r="E15" t="str">
        <v>โต๊ะทำงานเหล็ก</v>
      </c>
      <c r="F15">
        <v>1</v>
      </c>
      <c r="G15" s="1">
        <v>6500</v>
      </c>
      <c r="H15" s="1">
        <f>F15*G15</f>
        <v>6500</v>
      </c>
      <c r="I15" t="str">
        <v>กลุ่มงานบริหารทั่วไป (ห้องธุรการ)</v>
      </c>
      <c r="J15" t="str">
        <v>พร้อมใช้งาน</v>
      </c>
    </row>
    <row r="16">
      <c r="A16">
        <v>11</v>
      </c>
      <c r="B16" t="str">
        <v>15/03/2566</v>
      </c>
      <c r="C16" t="str">
        <v>7440-001-1002/2567</v>
      </c>
      <c r="D16" t="str">
        <v/>
      </c>
      <c r="E16" t="str">
        <v>โต๊ะทำงานเหล็ก</v>
      </c>
      <c r="F16">
        <v>1</v>
      </c>
      <c r="G16" s="1">
        <v>6500</v>
      </c>
      <c r="H16" s="1">
        <f>F16*G16</f>
        <v>6500</v>
      </c>
      <c r="I16" t="str">
        <v>กลุ่มงานเภสัชกรรม (ห้องยา)</v>
      </c>
      <c r="J16" t="str">
        <v>พร้อมใช้งาน</v>
      </c>
    </row>
    <row r="17">
      <c r="A17">
        <v>12</v>
      </c>
      <c r="B17" t="str">
        <v>15/07/2566</v>
      </c>
      <c r="C17" t="str">
        <v>7440-001-1006/2567</v>
      </c>
      <c r="D17" t="str">
        <v/>
      </c>
      <c r="E17" t="str">
        <v>ตู้เย็นเก็บยา</v>
      </c>
      <c r="F17">
        <v>1</v>
      </c>
      <c r="G17" s="1">
        <v>45000</v>
      </c>
      <c r="H17" s="1">
        <f>F17*G17</f>
        <v>45000</v>
      </c>
      <c r="I17" t="str">
        <v>กลุ่มงานเภสัชกรรม (ห้องยา)</v>
      </c>
      <c r="J17" t="str">
        <v>พร้อมใช้งาน</v>
      </c>
    </row>
    <row r="18">
      <c r="A18">
        <v>13</v>
      </c>
      <c r="B18" t="str">
        <v>15/02/2566</v>
      </c>
      <c r="C18" t="str">
        <v>7440-001-1010/2567</v>
      </c>
      <c r="D18" t="str">
        <v/>
      </c>
      <c r="E18" t="str">
        <v>ตู้เอกสาร 4 ลิ้นชัก</v>
      </c>
      <c r="F18">
        <v>1</v>
      </c>
      <c r="G18" s="1">
        <v>5200</v>
      </c>
      <c r="H18" s="1">
        <f>F18*G18</f>
        <v>5200</v>
      </c>
      <c r="I18" t="str">
        <v>กลุ่มงานเภสัชกรรม (ห้องยา)</v>
      </c>
      <c r="J18" t="str">
        <v>พร้อมใช้งาน</v>
      </c>
    </row>
    <row r="19">
      <c r="A19">
        <v>14</v>
      </c>
      <c r="B19" t="str">
        <v>15/06/2566</v>
      </c>
      <c r="C19" t="str">
        <v>7440-001-1014/2567</v>
      </c>
      <c r="D19" t="str">
        <v/>
      </c>
      <c r="E19" t="str">
        <v>คอมพิวเตอร์ตั้งโต๊ะ</v>
      </c>
      <c r="F19">
        <v>1</v>
      </c>
      <c r="G19" s="1">
        <v>24500</v>
      </c>
      <c r="H19" s="1">
        <f>F19*G19</f>
        <v>24500</v>
      </c>
      <c r="I19" t="str">
        <v>กลุ่มงานเภสัชกรรม (ห้องยา)</v>
      </c>
      <c r="J19" t="str">
        <v>พร้อมใช้งาน</v>
      </c>
    </row>
    <row r="20">
      <c r="A20">
        <v>15</v>
      </c>
      <c r="B20" t="str">
        <v>15/04/2567</v>
      </c>
      <c r="C20" t="str">
        <v>7440-001-1003/2568</v>
      </c>
      <c r="D20" t="str">
        <v/>
      </c>
      <c r="E20" t="str">
        <v>ตู้เอกสาร 4 ลิ้นชัก</v>
      </c>
      <c r="F20">
        <v>1</v>
      </c>
      <c r="G20" s="1">
        <v>5200</v>
      </c>
      <c r="H20" s="1">
        <f>F20*G20</f>
        <v>5200</v>
      </c>
      <c r="I20" t="str">
        <v>โถงชั้น 1</v>
      </c>
      <c r="J20" t="str">
        <v>พร้อมใช้งาน</v>
      </c>
    </row>
    <row r="21">
      <c r="A21">
        <v>16</v>
      </c>
      <c r="B21" t="str">
        <v>15/08/2567</v>
      </c>
      <c r="C21" t="str">
        <v>7440-001-1007/2568</v>
      </c>
      <c r="D21" t="str">
        <v/>
      </c>
      <c r="E21" t="str">
        <v>คอมพิวเตอร์ตั้งโต๊ะ</v>
      </c>
      <c r="F21">
        <v>1</v>
      </c>
      <c r="I21" t="str">
        <v>โถงชั้น 1</v>
      </c>
      <c r="J21" t="str">
        <v>พร้อมใช้งาน</v>
      </c>
    </row>
    <row r="22">
      <c r="A22">
        <v>17</v>
      </c>
      <c r="B22" t="str">
        <v>15/03/2567</v>
      </c>
      <c r="C22" t="str">
        <v>7440-001-1011/2568</v>
      </c>
      <c r="D22" t="str">
        <v/>
      </c>
      <c r="E22" t="str">
        <v>เครื่องวัดความดันโลหิตอัตโนมัติ</v>
      </c>
      <c r="F22">
        <v>1</v>
      </c>
      <c r="G22" s="1">
        <v>32000</v>
      </c>
      <c r="H22" s="1">
        <f>F22*G22</f>
        <v>32000</v>
      </c>
      <c r="I22" t="str">
        <v>โถงชั้น 1</v>
      </c>
      <c r="J22" t="str">
        <v>พร้อมใช้งาน</v>
      </c>
    </row>
    <row r="23">
      <c r="A23">
        <v>18</v>
      </c>
      <c r="B23" t="str">
        <v>15/07/2567</v>
      </c>
      <c r="C23" t="str">
        <v>7440-001-1015/2568</v>
      </c>
      <c r="D23" t="str">
        <v/>
      </c>
      <c r="E23" t="str">
        <v>เครื่องพิมพ์เลเซอร์</v>
      </c>
      <c r="F23">
        <v>1</v>
      </c>
      <c r="G23" s="1">
        <v>8900</v>
      </c>
      <c r="H23" s="1">
        <f>F23*G23</f>
        <v>8900</v>
      </c>
      <c r="I23" t="str">
        <v>โถงชั้น 1</v>
      </c>
      <c r="J23" t="str">
        <v>พร้อมใช้งาน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รวม</v>
      </c>
      <c r="F24">
        <f>SUM(F6:F23)</f>
        <v>18</v>
      </c>
      <c r="H24" s="1">
        <f>SUM(H6:H23)</f>
        <v>321800</v>
      </c>
      <c r="I24" t="str">
        <v/>
      </c>
      <c r="J24" t="str">
        <v/>
      </c>
    </row>
    <row r="27">
      <c r="A27" t="str">
        <v/>
      </c>
      <c r="B27" t="str">
        <v>ลงชื่อ ........................................ ประธานกรรมการ</v>
      </c>
      <c r="C27" t="str">
        <v/>
      </c>
      <c r="D27" t="str">
        <v/>
      </c>
      <c r="E27" t="str">
        <v/>
      </c>
      <c r="F27" t="str">
        <v>ลงชื่อ ........................................ กรรมการ</v>
      </c>
      <c r="G27" t="str">
        <v/>
      </c>
      <c r="H27" t="str">
        <v/>
      </c>
      <c r="I27" t="str">
        <v>ลงชื่อ ........................................ กรรมการ</v>
      </c>
    </row>
    <row r="28">
      <c r="A28" t="str">
        <v/>
      </c>
      <c r="B28" t="str">
        <v xml:space="preserve">      (........................................)</v>
      </c>
      <c r="C28" t="str">
        <v/>
      </c>
      <c r="D28" t="str">
        <v/>
      </c>
      <c r="E28" t="str">
        <v/>
      </c>
      <c r="F28" t="str">
        <v xml:space="preserve">      (........................................)</v>
      </c>
      <c r="G28" t="str">
        <v/>
      </c>
      <c r="H28" t="str">
        <v/>
      </c>
      <c r="I28" t="str">
        <v xml:space="preserve">      (........................................)</v>
      </c>
    </row>
    <row r="29">
      <c r="A29" t="str">
        <v/>
      </c>
      <c r="B29" t="str">
        <v>วันที่ ......../......../........</v>
      </c>
      <c r="C29" t="str">
        <v/>
      </c>
      <c r="D29" t="str">
        <v/>
      </c>
      <c r="E29" t="str">
        <v/>
      </c>
      <c r="F29" t="str">
        <v>วันที่ ......../......../........</v>
      </c>
      <c r="G29" t="str">
        <v/>
      </c>
      <c r="H29" t="str">
        <v/>
      </c>
      <c r="I29" t="str">
        <v>วันที่ ......../......../........</v>
      </c>
    </row>
  </sheetData>
  <autoFilter ref="A5:J23"/>
  <mergeCells count="3">
    <mergeCell ref="A1:J1"/>
    <mergeCell ref="A2:J2"/>
    <mergeCell ref="A3:J3"/>
  </mergeCells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ตรวจนับ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